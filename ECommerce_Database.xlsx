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bhishak\Desktop\Ecommerce Project\"/>
    </mc:Choice>
  </mc:AlternateContent>
  <xr:revisionPtr revIDLastSave="0" documentId="13_ncr:1_{8B7B642A-4016-4C9B-817D-8B11A461005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User" sheetId="1" r:id="rId1"/>
    <sheet name="Product" sheetId="2" r:id="rId2"/>
    <sheet name="Order" sheetId="3" r:id="rId3"/>
    <sheet name="Payment" sheetId="4" r:id="rId4"/>
    <sheet name="Analytic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5" l="1"/>
  <c r="E2" i="5" s="1"/>
  <c r="F2" i="5" s="1"/>
  <c r="C5" i="5"/>
  <c r="E5" i="5" s="1"/>
  <c r="F5" i="5" s="1"/>
  <c r="C6" i="5"/>
  <c r="E6" i="5" s="1"/>
  <c r="F6" i="5" s="1"/>
  <c r="C7" i="5"/>
  <c r="E7" i="5" s="1"/>
  <c r="F7" i="5" s="1"/>
  <c r="C8" i="5"/>
  <c r="E8" i="5" s="1"/>
  <c r="F8" i="5" s="1"/>
  <c r="C9" i="5"/>
  <c r="E9" i="5" s="1"/>
  <c r="F9" i="5" s="1"/>
  <c r="C10" i="5"/>
  <c r="E10" i="5" s="1"/>
  <c r="F10" i="5" s="1"/>
  <c r="C11" i="5"/>
  <c r="E11" i="5" s="1"/>
  <c r="F11" i="5" s="1"/>
  <c r="C4" i="5"/>
  <c r="E4" i="5" s="1"/>
  <c r="F4" i="5" s="1"/>
  <c r="C3" i="5"/>
  <c r="E3" i="5" s="1"/>
  <c r="F3" i="5" s="1"/>
</calcChain>
</file>

<file path=xl/sharedStrings.xml><?xml version="1.0" encoding="utf-8"?>
<sst xmlns="http://schemas.openxmlformats.org/spreadsheetml/2006/main" count="196" uniqueCount="134">
  <si>
    <t>User_id</t>
  </si>
  <si>
    <t>Name</t>
  </si>
  <si>
    <t>Email</t>
  </si>
  <si>
    <t>Phone No.</t>
  </si>
  <si>
    <t>USR101</t>
  </si>
  <si>
    <t>Aarav Sharma</t>
  </si>
  <si>
    <t>aarav.sharma@email.com</t>
  </si>
  <si>
    <t>9876543210</t>
  </si>
  <si>
    <t>USR102</t>
  </si>
  <si>
    <t>Diya Patel</t>
  </si>
  <si>
    <t>diya.patel@email.com</t>
  </si>
  <si>
    <t>9812345678</t>
  </si>
  <si>
    <t>USR103</t>
  </si>
  <si>
    <t>Rohan Das</t>
  </si>
  <si>
    <t>rohan.das@email.com</t>
  </si>
  <si>
    <t>9745612308</t>
  </si>
  <si>
    <t>USR104</t>
  </si>
  <si>
    <t>Ananya Iyer</t>
  </si>
  <si>
    <t>ananya.iyer@email.com</t>
  </si>
  <si>
    <t>9632587410</t>
  </si>
  <si>
    <t>USR105</t>
  </si>
  <si>
    <t>Kabir Singh</t>
  </si>
  <si>
    <t>kabir.singh@email.com</t>
  </si>
  <si>
    <t>9514782360</t>
  </si>
  <si>
    <t>USR106</t>
  </si>
  <si>
    <t>Meera Reddy</t>
  </si>
  <si>
    <t>meera.reddy@email.com</t>
  </si>
  <si>
    <t>9423617850</t>
  </si>
  <si>
    <t>USR107</t>
  </si>
  <si>
    <t>Vivaan Gupta</t>
  </si>
  <si>
    <t>vivaan.gupta@email.com</t>
  </si>
  <si>
    <t>9365478210</t>
  </si>
  <si>
    <t>USR108</t>
  </si>
  <si>
    <t>Isha Verma</t>
  </si>
  <si>
    <t>isha.verma@email.com</t>
  </si>
  <si>
    <t>9258143670</t>
  </si>
  <si>
    <t>USR109</t>
  </si>
  <si>
    <t>Aditya Rao</t>
  </si>
  <si>
    <t>aditya.rao@email.com</t>
  </si>
  <si>
    <t>9147258369</t>
  </si>
  <si>
    <t>USR110</t>
  </si>
  <si>
    <t>Sai Kapoor</t>
  </si>
  <si>
    <t>sai.kapoor@email.com</t>
  </si>
  <si>
    <t>9036925814</t>
  </si>
  <si>
    <t>Product_id</t>
  </si>
  <si>
    <t>Category</t>
  </si>
  <si>
    <t>PRD001</t>
  </si>
  <si>
    <t>Wireless Mouse</t>
  </si>
  <si>
    <t>Electronics</t>
  </si>
  <si>
    <t>PRD002</t>
  </si>
  <si>
    <t>Mechanical Keyboard</t>
  </si>
  <si>
    <t>PRD003</t>
  </si>
  <si>
    <t>Leather Wallet</t>
  </si>
  <si>
    <t>Accessories</t>
  </si>
  <si>
    <t>PRD004</t>
  </si>
  <si>
    <t>Running Shoes</t>
  </si>
  <si>
    <t>Apparel</t>
  </si>
  <si>
    <t>PRD005</t>
  </si>
  <si>
    <t>Cotton T-Shirt</t>
  </si>
  <si>
    <t>PRD006</t>
  </si>
  <si>
    <t>Bluetooth Headphones</t>
  </si>
  <si>
    <t>PRD007</t>
  </si>
  <si>
    <t>Backpack</t>
  </si>
  <si>
    <t>PRD008</t>
  </si>
  <si>
    <t>Smart Watch</t>
  </si>
  <si>
    <t>PRD009</t>
  </si>
  <si>
    <t>Water Bottle</t>
  </si>
  <si>
    <t>Home &amp; Kitchen</t>
  </si>
  <si>
    <t>PRD010</t>
  </si>
  <si>
    <t>Coffee Mug</t>
  </si>
  <si>
    <t>Order_id</t>
  </si>
  <si>
    <t>Order_Date</t>
  </si>
  <si>
    <t>ORD501</t>
  </si>
  <si>
    <t>2026-05-15</t>
  </si>
  <si>
    <t>ORD502</t>
  </si>
  <si>
    <t>2026-05-16</t>
  </si>
  <si>
    <t>ORD503</t>
  </si>
  <si>
    <t>2026-05-18</t>
  </si>
  <si>
    <t>ORD504</t>
  </si>
  <si>
    <t>2026-05-19</t>
  </si>
  <si>
    <t>ORD505</t>
  </si>
  <si>
    <t>2026-05-20</t>
  </si>
  <si>
    <t>ORD506</t>
  </si>
  <si>
    <t>2026-05-22</t>
  </si>
  <si>
    <t>ORD507</t>
  </si>
  <si>
    <t>2026-05-23</t>
  </si>
  <si>
    <t>ORD508</t>
  </si>
  <si>
    <t>2026-05-25</t>
  </si>
  <si>
    <t>ORD509</t>
  </si>
  <si>
    <t>2026-05-26</t>
  </si>
  <si>
    <t>ORD510</t>
  </si>
  <si>
    <t>2026-05-28</t>
  </si>
  <si>
    <t>Payment_id</t>
  </si>
  <si>
    <t>Status</t>
  </si>
  <si>
    <t>PMT901</t>
  </si>
  <si>
    <t>UPI</t>
  </si>
  <si>
    <t>Completed</t>
  </si>
  <si>
    <t>PMT902</t>
  </si>
  <si>
    <t>Credit Card</t>
  </si>
  <si>
    <t>PMT903</t>
  </si>
  <si>
    <t>Net Banking</t>
  </si>
  <si>
    <t>Pending</t>
  </si>
  <si>
    <t>PMT904</t>
  </si>
  <si>
    <t>PMT905</t>
  </si>
  <si>
    <t>Debit Card</t>
  </si>
  <si>
    <t>Failed</t>
  </si>
  <si>
    <t>PMT906</t>
  </si>
  <si>
    <t>PMT907</t>
  </si>
  <si>
    <t>Cash on Delivery</t>
  </si>
  <si>
    <t>PMT908</t>
  </si>
  <si>
    <t>PMT909</t>
  </si>
  <si>
    <t>PMT910</t>
  </si>
  <si>
    <t>Analytics_id</t>
  </si>
  <si>
    <t>Total_Orders</t>
  </si>
  <si>
    <t>ANR-01</t>
  </si>
  <si>
    <t>ANR-02</t>
  </si>
  <si>
    <t>ANR-03</t>
  </si>
  <si>
    <t>ANR-04</t>
  </si>
  <si>
    <t>ANR-05</t>
  </si>
  <si>
    <t>ANR-06</t>
  </si>
  <si>
    <t>ANR-07</t>
  </si>
  <si>
    <t>ANR-08</t>
  </si>
  <si>
    <t>ANR-09</t>
  </si>
  <si>
    <t>ANR-10</t>
  </si>
  <si>
    <t>Payment_Date</t>
  </si>
  <si>
    <t>Profit</t>
  </si>
  <si>
    <t>Product Name</t>
  </si>
  <si>
    <t>Payment_Received</t>
  </si>
  <si>
    <t>Payment_Method</t>
  </si>
  <si>
    <t>U_Price</t>
  </si>
  <si>
    <t>Sales_Price</t>
  </si>
  <si>
    <t xml:space="preserve">Total_Sales </t>
  </si>
  <si>
    <t>Product U_Price</t>
  </si>
  <si>
    <t>Sales_Date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</si>
</sst>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;@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1"/>
      <color rgb="FF000000"/>
      <name val="Segoe UI"/>
    </font>
    <font>
      <b/>
      <sz val="11"/>
      <color theme="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2A4B7C"/>
        <bgColor rgb="FF2A4B7C"/>
      </patternFill>
    </fill>
    <fill>
      <patternFill patternType="solid">
        <fgColor rgb="FFF4F7FA"/>
        <bgColor rgb="FFF4F7FA"/>
      </patternFill>
    </fill>
    <fill>
      <patternFill patternType="solid">
        <fgColor theme="3"/>
        <bgColor rgb="FF2A4B7C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3" fontId="2" fillId="3" borderId="1" xfId="0" applyNumberFormat="1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left" vertical="center"/>
    </xf>
    <xf numFmtId="14" fontId="2" fillId="3" borderId="1" xfId="0" applyNumberFormat="1" applyFont="1" applyFill="1" applyBorder="1" applyAlignment="1">
      <alignment horizontal="left" vertical="center"/>
    </xf>
    <xf numFmtId="3" fontId="0" fillId="0" borderId="0" xfId="0" applyNumberFormat="1"/>
    <xf numFmtId="14" fontId="2" fillId="0" borderId="1" xfId="0" applyNumberFormat="1" applyFont="1" applyBorder="1" applyAlignment="1">
      <alignment horizontal="right" vertical="center"/>
    </xf>
    <xf numFmtId="14" fontId="2" fillId="3" borderId="1" xfId="0" applyNumberFormat="1" applyFont="1" applyFill="1" applyBorder="1" applyAlignment="1">
      <alignment horizontal="right" vertical="center"/>
    </xf>
    <xf numFmtId="14" fontId="0" fillId="0" borderId="0" xfId="0" applyNumberFormat="1"/>
    <xf numFmtId="164" fontId="2" fillId="0" borderId="1" xfId="0" applyNumberFormat="1" applyFont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26" customWidth="1"/>
    <col min="4" max="4" width="14" customWidth="1"/>
  </cols>
  <sheetData>
    <row r="1" spans="1:4" ht="16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6.8" x14ac:dyDescent="0.3">
      <c r="A2" s="2" t="s">
        <v>4</v>
      </c>
      <c r="B2" s="3" t="s">
        <v>5</v>
      </c>
      <c r="C2" s="3" t="s">
        <v>6</v>
      </c>
      <c r="D2" s="3" t="s">
        <v>7</v>
      </c>
    </row>
    <row r="3" spans="1:4" ht="16.8" x14ac:dyDescent="0.3">
      <c r="A3" s="4" t="s">
        <v>8</v>
      </c>
      <c r="B3" s="5" t="s">
        <v>9</v>
      </c>
      <c r="C3" s="5" t="s">
        <v>10</v>
      </c>
      <c r="D3" s="5" t="s">
        <v>11</v>
      </c>
    </row>
    <row r="4" spans="1:4" ht="16.8" x14ac:dyDescent="0.3">
      <c r="A4" s="2" t="s">
        <v>12</v>
      </c>
      <c r="B4" s="3" t="s">
        <v>13</v>
      </c>
      <c r="C4" s="3" t="s">
        <v>14</v>
      </c>
      <c r="D4" s="3" t="s">
        <v>15</v>
      </c>
    </row>
    <row r="5" spans="1:4" ht="16.8" x14ac:dyDescent="0.3">
      <c r="A5" s="4" t="s">
        <v>16</v>
      </c>
      <c r="B5" s="5" t="s">
        <v>17</v>
      </c>
      <c r="C5" s="5" t="s">
        <v>18</v>
      </c>
      <c r="D5" s="5" t="s">
        <v>19</v>
      </c>
    </row>
    <row r="6" spans="1:4" ht="16.8" x14ac:dyDescent="0.3">
      <c r="A6" s="2" t="s">
        <v>20</v>
      </c>
      <c r="B6" s="3" t="s">
        <v>21</v>
      </c>
      <c r="C6" s="3" t="s">
        <v>22</v>
      </c>
      <c r="D6" s="3" t="s">
        <v>23</v>
      </c>
    </row>
    <row r="7" spans="1:4" ht="16.8" x14ac:dyDescent="0.3">
      <c r="A7" s="4" t="s">
        <v>24</v>
      </c>
      <c r="B7" s="5" t="s">
        <v>25</v>
      </c>
      <c r="C7" s="5" t="s">
        <v>26</v>
      </c>
      <c r="D7" s="5" t="s">
        <v>27</v>
      </c>
    </row>
    <row r="8" spans="1:4" ht="16.8" x14ac:dyDescent="0.3">
      <c r="A8" s="2" t="s">
        <v>28</v>
      </c>
      <c r="B8" s="3" t="s">
        <v>29</v>
      </c>
      <c r="C8" s="3" t="s">
        <v>30</v>
      </c>
      <c r="D8" s="3" t="s">
        <v>31</v>
      </c>
    </row>
    <row r="9" spans="1:4" ht="16.8" x14ac:dyDescent="0.3">
      <c r="A9" s="4" t="s">
        <v>32</v>
      </c>
      <c r="B9" s="5" t="s">
        <v>33</v>
      </c>
      <c r="C9" s="5" t="s">
        <v>34</v>
      </c>
      <c r="D9" s="5" t="s">
        <v>35</v>
      </c>
    </row>
    <row r="10" spans="1:4" ht="16.8" x14ac:dyDescent="0.3">
      <c r="A10" s="2" t="s">
        <v>36</v>
      </c>
      <c r="B10" s="3" t="s">
        <v>37</v>
      </c>
      <c r="C10" s="3" t="s">
        <v>38</v>
      </c>
      <c r="D10" s="3" t="s">
        <v>39</v>
      </c>
    </row>
    <row r="11" spans="1:4" ht="16.8" x14ac:dyDescent="0.3">
      <c r="A11" s="4" t="s">
        <v>40</v>
      </c>
      <c r="B11" s="5" t="s">
        <v>41</v>
      </c>
      <c r="C11" s="5" t="s">
        <v>42</v>
      </c>
      <c r="D11" s="5" t="s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selection activeCell="C23" sqref="C23"/>
    </sheetView>
  </sheetViews>
  <sheetFormatPr defaultRowHeight="14.4" x14ac:dyDescent="0.3"/>
  <cols>
    <col min="1" max="1" width="14" customWidth="1"/>
    <col min="2" max="2" width="24" customWidth="1"/>
    <col min="3" max="3" width="12" customWidth="1"/>
    <col min="4" max="4" width="18" customWidth="1"/>
  </cols>
  <sheetData>
    <row r="1" spans="1:4" ht="16.8" x14ac:dyDescent="0.3">
      <c r="A1" s="1" t="s">
        <v>44</v>
      </c>
      <c r="B1" s="1" t="s">
        <v>1</v>
      </c>
      <c r="C1" s="1" t="s">
        <v>129</v>
      </c>
      <c r="D1" s="1" t="s">
        <v>45</v>
      </c>
    </row>
    <row r="2" spans="1:4" ht="16.8" x14ac:dyDescent="0.3">
      <c r="A2" s="2" t="s">
        <v>46</v>
      </c>
      <c r="B2" s="3" t="s">
        <v>47</v>
      </c>
      <c r="C2" s="6">
        <v>1200</v>
      </c>
      <c r="D2" s="3" t="s">
        <v>48</v>
      </c>
    </row>
    <row r="3" spans="1:4" ht="16.8" x14ac:dyDescent="0.3">
      <c r="A3" s="4" t="s">
        <v>49</v>
      </c>
      <c r="B3" s="5" t="s">
        <v>50</v>
      </c>
      <c r="C3" s="7">
        <v>3500</v>
      </c>
      <c r="D3" s="5" t="s">
        <v>48</v>
      </c>
    </row>
    <row r="4" spans="1:4" ht="16.8" x14ac:dyDescent="0.3">
      <c r="A4" s="2" t="s">
        <v>51</v>
      </c>
      <c r="B4" s="3" t="s">
        <v>52</v>
      </c>
      <c r="C4" s="6">
        <v>1500</v>
      </c>
      <c r="D4" s="3" t="s">
        <v>53</v>
      </c>
    </row>
    <row r="5" spans="1:4" ht="16.8" x14ac:dyDescent="0.3">
      <c r="A5" s="4" t="s">
        <v>54</v>
      </c>
      <c r="B5" s="5" t="s">
        <v>55</v>
      </c>
      <c r="C5" s="7">
        <v>4500</v>
      </c>
      <c r="D5" s="5" t="s">
        <v>56</v>
      </c>
    </row>
    <row r="6" spans="1:4" ht="16.8" x14ac:dyDescent="0.3">
      <c r="A6" s="2" t="s">
        <v>57</v>
      </c>
      <c r="B6" s="3" t="s">
        <v>58</v>
      </c>
      <c r="C6" s="6">
        <v>800</v>
      </c>
      <c r="D6" s="3" t="s">
        <v>56</v>
      </c>
    </row>
    <row r="7" spans="1:4" ht="16.8" x14ac:dyDescent="0.3">
      <c r="A7" s="4" t="s">
        <v>59</v>
      </c>
      <c r="B7" s="5" t="s">
        <v>60</v>
      </c>
      <c r="C7" s="7">
        <v>2500</v>
      </c>
      <c r="D7" s="5" t="s">
        <v>48</v>
      </c>
    </row>
    <row r="8" spans="1:4" ht="16.8" x14ac:dyDescent="0.3">
      <c r="A8" s="2" t="s">
        <v>61</v>
      </c>
      <c r="B8" s="3" t="s">
        <v>62</v>
      </c>
      <c r="C8" s="6">
        <v>2200</v>
      </c>
      <c r="D8" s="3" t="s">
        <v>53</v>
      </c>
    </row>
    <row r="9" spans="1:4" ht="16.8" x14ac:dyDescent="0.3">
      <c r="A9" s="4" t="s">
        <v>63</v>
      </c>
      <c r="B9" s="5" t="s">
        <v>64</v>
      </c>
      <c r="C9" s="7">
        <v>6000</v>
      </c>
      <c r="D9" s="5" t="s">
        <v>48</v>
      </c>
    </row>
    <row r="10" spans="1:4" ht="16.8" x14ac:dyDescent="0.3">
      <c r="A10" s="2" t="s">
        <v>65</v>
      </c>
      <c r="B10" s="3" t="s">
        <v>66</v>
      </c>
      <c r="C10" s="6">
        <v>600</v>
      </c>
      <c r="D10" s="3" t="s">
        <v>67</v>
      </c>
    </row>
    <row r="11" spans="1:4" ht="16.8" x14ac:dyDescent="0.3">
      <c r="A11" s="4" t="s">
        <v>68</v>
      </c>
      <c r="B11" s="5" t="s">
        <v>69</v>
      </c>
      <c r="C11" s="7">
        <v>400</v>
      </c>
      <c r="D11" s="5" t="s">
        <v>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selection activeCell="B1" sqref="B1:B11"/>
    </sheetView>
  </sheetViews>
  <sheetFormatPr defaultRowHeight="14.4" x14ac:dyDescent="0.3"/>
  <cols>
    <col min="1" max="2" width="12" customWidth="1"/>
    <col min="3" max="3" width="21.6640625" bestFit="1" customWidth="1"/>
    <col min="4" max="4" width="16" customWidth="1"/>
    <col min="5" max="5" width="21.6640625" bestFit="1" customWidth="1"/>
  </cols>
  <sheetData>
    <row r="1" spans="1:5" ht="16.8" x14ac:dyDescent="0.3">
      <c r="A1" s="1" t="s">
        <v>70</v>
      </c>
      <c r="B1" s="1" t="s">
        <v>0</v>
      </c>
      <c r="C1" s="8" t="s">
        <v>126</v>
      </c>
      <c r="D1" s="1" t="s">
        <v>71</v>
      </c>
      <c r="E1" s="1"/>
    </row>
    <row r="2" spans="1:5" ht="16.8" x14ac:dyDescent="0.3">
      <c r="A2" s="2" t="s">
        <v>72</v>
      </c>
      <c r="B2" s="2" t="s">
        <v>4</v>
      </c>
      <c r="C2" s="3" t="s">
        <v>47</v>
      </c>
      <c r="D2" s="9" t="s">
        <v>73</v>
      </c>
      <c r="E2" s="6"/>
    </row>
    <row r="3" spans="1:5" ht="16.8" x14ac:dyDescent="0.3">
      <c r="A3" s="4" t="s">
        <v>74</v>
      </c>
      <c r="B3" s="4" t="s">
        <v>12</v>
      </c>
      <c r="C3" s="5" t="s">
        <v>50</v>
      </c>
      <c r="D3" s="16" t="s">
        <v>75</v>
      </c>
      <c r="E3" s="7"/>
    </row>
    <row r="4" spans="1:5" ht="16.8" x14ac:dyDescent="0.3">
      <c r="A4" s="2" t="s">
        <v>76</v>
      </c>
      <c r="B4" s="2" t="s">
        <v>8</v>
      </c>
      <c r="C4" s="3" t="s">
        <v>52</v>
      </c>
      <c r="D4" s="15" t="s">
        <v>77</v>
      </c>
      <c r="E4" s="6"/>
    </row>
    <row r="5" spans="1:5" ht="16.8" x14ac:dyDescent="0.3">
      <c r="A5" s="4" t="s">
        <v>78</v>
      </c>
      <c r="B5" s="4" t="s">
        <v>20</v>
      </c>
      <c r="C5" s="5" t="s">
        <v>55</v>
      </c>
      <c r="D5" s="16" t="s">
        <v>79</v>
      </c>
      <c r="E5" s="7"/>
    </row>
    <row r="6" spans="1:5" ht="16.8" x14ac:dyDescent="0.3">
      <c r="A6" s="2" t="s">
        <v>80</v>
      </c>
      <c r="B6" s="2" t="s">
        <v>16</v>
      </c>
      <c r="C6" s="3" t="s">
        <v>58</v>
      </c>
      <c r="D6" s="15" t="s">
        <v>81</v>
      </c>
      <c r="E6" s="6"/>
    </row>
    <row r="7" spans="1:5" ht="16.8" x14ac:dyDescent="0.3">
      <c r="A7" s="4" t="s">
        <v>82</v>
      </c>
      <c r="B7" s="4" t="s">
        <v>4</v>
      </c>
      <c r="C7" s="5" t="s">
        <v>60</v>
      </c>
      <c r="D7" s="16" t="s">
        <v>83</v>
      </c>
      <c r="E7" s="7"/>
    </row>
    <row r="8" spans="1:5" ht="16.8" x14ac:dyDescent="0.3">
      <c r="A8" s="2" t="s">
        <v>84</v>
      </c>
      <c r="B8" s="2" t="s">
        <v>32</v>
      </c>
      <c r="C8" s="3" t="s">
        <v>62</v>
      </c>
      <c r="D8" s="15" t="s">
        <v>85</v>
      </c>
      <c r="E8" s="6"/>
    </row>
    <row r="9" spans="1:5" ht="16.8" x14ac:dyDescent="0.3">
      <c r="A9" s="4" t="s">
        <v>86</v>
      </c>
      <c r="B9" s="4" t="s">
        <v>24</v>
      </c>
      <c r="C9" s="5" t="s">
        <v>64</v>
      </c>
      <c r="D9" s="16" t="s">
        <v>87</v>
      </c>
      <c r="E9" s="7"/>
    </row>
    <row r="10" spans="1:5" ht="16.8" x14ac:dyDescent="0.3">
      <c r="A10" s="2" t="s">
        <v>88</v>
      </c>
      <c r="B10" s="2" t="s">
        <v>40</v>
      </c>
      <c r="C10" s="3" t="s">
        <v>66</v>
      </c>
      <c r="D10" s="15" t="s">
        <v>89</v>
      </c>
      <c r="E10" s="6"/>
    </row>
    <row r="11" spans="1:5" ht="16.8" x14ac:dyDescent="0.3">
      <c r="A11" s="4" t="s">
        <v>90</v>
      </c>
      <c r="B11" s="4" t="s">
        <v>28</v>
      </c>
      <c r="C11" s="5" t="s">
        <v>69</v>
      </c>
      <c r="D11" s="16" t="s">
        <v>91</v>
      </c>
      <c r="E11" s="7"/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>
      <selection activeCell="E11" sqref="E2:E11"/>
    </sheetView>
  </sheetViews>
  <sheetFormatPr defaultRowHeight="14.4" x14ac:dyDescent="0.3"/>
  <cols>
    <col min="1" max="1" width="14" customWidth="1"/>
    <col min="2" max="2" width="12" customWidth="1"/>
    <col min="3" max="3" width="20" customWidth="1"/>
    <col min="4" max="4" width="13" customWidth="1"/>
    <col min="5" max="5" width="14.6640625" bestFit="1" customWidth="1"/>
    <col min="6" max="6" width="18.88671875" bestFit="1" customWidth="1"/>
    <col min="7" max="7" width="11.44140625" bestFit="1" customWidth="1"/>
  </cols>
  <sheetData>
    <row r="1" spans="1:7" ht="16.8" x14ac:dyDescent="0.3">
      <c r="A1" s="1" t="s">
        <v>92</v>
      </c>
      <c r="B1" s="1" t="s">
        <v>70</v>
      </c>
      <c r="C1" s="1" t="s">
        <v>128</v>
      </c>
      <c r="D1" s="1" t="s">
        <v>93</v>
      </c>
      <c r="E1" s="8" t="s">
        <v>124</v>
      </c>
      <c r="F1" s="8" t="s">
        <v>127</v>
      </c>
    </row>
    <row r="2" spans="1:7" ht="16.8" x14ac:dyDescent="0.3">
      <c r="A2" s="2" t="s">
        <v>94</v>
      </c>
      <c r="B2" s="2" t="s">
        <v>72</v>
      </c>
      <c r="C2" s="3" t="s">
        <v>95</v>
      </c>
      <c r="D2" s="3" t="s">
        <v>96</v>
      </c>
      <c r="E2" s="9">
        <v>46162</v>
      </c>
      <c r="F2" s="6">
        <v>10000</v>
      </c>
      <c r="G2" s="9"/>
    </row>
    <row r="3" spans="1:7" ht="16.8" x14ac:dyDescent="0.3">
      <c r="A3" s="4" t="s">
        <v>97</v>
      </c>
      <c r="B3" s="4" t="s">
        <v>74</v>
      </c>
      <c r="C3" s="5" t="s">
        <v>98</v>
      </c>
      <c r="D3" s="5" t="s">
        <v>96</v>
      </c>
      <c r="E3" s="10">
        <v>46168</v>
      </c>
      <c r="F3" s="7">
        <v>37000</v>
      </c>
      <c r="G3" s="10"/>
    </row>
    <row r="4" spans="1:7" ht="16.8" x14ac:dyDescent="0.3">
      <c r="A4" s="2" t="s">
        <v>99</v>
      </c>
      <c r="B4" s="2" t="s">
        <v>76</v>
      </c>
      <c r="C4" s="3" t="s">
        <v>100</v>
      </c>
      <c r="D4" s="3" t="s">
        <v>101</v>
      </c>
      <c r="E4" s="9">
        <v>46191</v>
      </c>
      <c r="F4" s="7">
        <v>10000</v>
      </c>
      <c r="G4" s="9"/>
    </row>
    <row r="5" spans="1:7" ht="16.8" x14ac:dyDescent="0.3">
      <c r="A5" s="4" t="s">
        <v>102</v>
      </c>
      <c r="B5" s="4" t="s">
        <v>78</v>
      </c>
      <c r="C5" s="5" t="s">
        <v>95</v>
      </c>
      <c r="D5" s="5" t="s">
        <v>96</v>
      </c>
      <c r="E5" s="10">
        <v>46192</v>
      </c>
      <c r="F5" s="7">
        <v>40500</v>
      </c>
      <c r="G5" s="10"/>
    </row>
    <row r="6" spans="1:7" ht="16.8" x14ac:dyDescent="0.3">
      <c r="A6" s="2" t="s">
        <v>103</v>
      </c>
      <c r="B6" s="2" t="s">
        <v>80</v>
      </c>
      <c r="C6" s="3" t="s">
        <v>104</v>
      </c>
      <c r="D6" s="3" t="s">
        <v>105</v>
      </c>
      <c r="E6" s="9">
        <v>46193</v>
      </c>
      <c r="F6" s="7">
        <v>5800</v>
      </c>
      <c r="G6" s="9"/>
    </row>
    <row r="7" spans="1:7" ht="16.8" x14ac:dyDescent="0.3">
      <c r="A7" s="4" t="s">
        <v>106</v>
      </c>
      <c r="B7" s="4" t="s">
        <v>82</v>
      </c>
      <c r="C7" s="5" t="s">
        <v>95</v>
      </c>
      <c r="D7" s="5" t="s">
        <v>96</v>
      </c>
      <c r="E7" s="10">
        <v>46197</v>
      </c>
      <c r="F7" s="7">
        <v>10500</v>
      </c>
      <c r="G7" s="10"/>
    </row>
    <row r="8" spans="1:7" ht="16.8" x14ac:dyDescent="0.3">
      <c r="A8" s="2" t="s">
        <v>107</v>
      </c>
      <c r="B8" s="2" t="s">
        <v>84</v>
      </c>
      <c r="C8" s="3" t="s">
        <v>108</v>
      </c>
      <c r="D8" s="3" t="s">
        <v>96</v>
      </c>
      <c r="E8" s="9">
        <v>46198</v>
      </c>
      <c r="F8" s="7">
        <v>40400</v>
      </c>
      <c r="G8" s="9"/>
    </row>
    <row r="9" spans="1:7" ht="16.8" x14ac:dyDescent="0.3">
      <c r="A9" s="4" t="s">
        <v>109</v>
      </c>
      <c r="B9" s="4" t="s">
        <v>86</v>
      </c>
      <c r="C9" s="5" t="s">
        <v>98</v>
      </c>
      <c r="D9" s="5" t="s">
        <v>96</v>
      </c>
      <c r="E9" s="10">
        <v>46200</v>
      </c>
      <c r="F9" s="7">
        <v>80000</v>
      </c>
      <c r="G9" s="10"/>
    </row>
    <row r="10" spans="1:7" ht="16.8" x14ac:dyDescent="0.3">
      <c r="A10" s="2" t="s">
        <v>110</v>
      </c>
      <c r="B10" s="2" t="s">
        <v>88</v>
      </c>
      <c r="C10" s="3" t="s">
        <v>95</v>
      </c>
      <c r="D10" s="3" t="s">
        <v>96</v>
      </c>
      <c r="E10" s="9">
        <v>46203</v>
      </c>
      <c r="F10" s="7">
        <v>6400</v>
      </c>
      <c r="G10" s="9"/>
    </row>
    <row r="11" spans="1:7" ht="16.8" x14ac:dyDescent="0.3">
      <c r="A11" s="4" t="s">
        <v>111</v>
      </c>
      <c r="B11" s="4" t="s">
        <v>90</v>
      </c>
      <c r="C11" s="5" t="s">
        <v>95</v>
      </c>
      <c r="D11" s="5" t="s">
        <v>101</v>
      </c>
      <c r="E11" s="10">
        <v>46205</v>
      </c>
      <c r="F11" s="7">
        <v>2500</v>
      </c>
      <c r="G11" s="10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1"/>
  <sheetViews>
    <sheetView tabSelected="1" workbookViewId="0">
      <selection activeCell="H1" sqref="H1"/>
    </sheetView>
  </sheetViews>
  <sheetFormatPr defaultRowHeight="14.4" x14ac:dyDescent="0.3"/>
  <cols>
    <col min="1" max="2" width="16" customWidth="1"/>
    <col min="3" max="3" width="15" customWidth="1"/>
    <col min="4" max="4" width="16" customWidth="1"/>
    <col min="5" max="5" width="12" customWidth="1"/>
    <col min="7" max="7" width="11" bestFit="1" customWidth="1"/>
    <col min="9" max="9" width="11.44140625" bestFit="1" customWidth="1"/>
  </cols>
  <sheetData>
    <row r="1" spans="1:12" ht="16.8" x14ac:dyDescent="0.4">
      <c r="A1" s="1" t="s">
        <v>112</v>
      </c>
      <c r="B1" s="1" t="s">
        <v>132</v>
      </c>
      <c r="C1" s="17" t="s">
        <v>130</v>
      </c>
      <c r="D1" s="1" t="s">
        <v>113</v>
      </c>
      <c r="E1" s="1" t="s">
        <v>131</v>
      </c>
      <c r="F1" s="8" t="s">
        <v>125</v>
      </c>
      <c r="G1" s="8" t="s">
        <v>133</v>
      </c>
      <c r="H1" s="18" t="s">
        <v>0</v>
      </c>
    </row>
    <row r="2" spans="1:12" ht="16.8" x14ac:dyDescent="0.3">
      <c r="A2" s="2" t="s">
        <v>114</v>
      </c>
      <c r="B2" s="6">
        <v>1200</v>
      </c>
      <c r="C2" s="6">
        <f>B2*D2</f>
        <v>12000</v>
      </c>
      <c r="D2" s="6">
        <v>10</v>
      </c>
      <c r="E2" s="6">
        <f>C2*15/100+C2</f>
        <v>13800</v>
      </c>
      <c r="F2" s="11">
        <f>E2-C2</f>
        <v>1800</v>
      </c>
      <c r="G2" s="14">
        <v>46161</v>
      </c>
      <c r="H2" t="s">
        <v>4</v>
      </c>
      <c r="I2" s="12"/>
      <c r="L2" s="6"/>
    </row>
    <row r="3" spans="1:12" ht="16.8" x14ac:dyDescent="0.3">
      <c r="A3" s="4" t="s">
        <v>115</v>
      </c>
      <c r="B3" s="7">
        <v>3500</v>
      </c>
      <c r="C3" s="7">
        <f t="shared" ref="C3:C11" si="0">D3*B3</f>
        <v>42000</v>
      </c>
      <c r="D3" s="7">
        <v>12</v>
      </c>
      <c r="E3" s="6">
        <f t="shared" ref="E3:E11" si="1">C3*15/100+C3</f>
        <v>48300</v>
      </c>
      <c r="F3" s="11">
        <f t="shared" ref="F3:F11" si="2">E3-C3</f>
        <v>6300</v>
      </c>
      <c r="G3" s="14">
        <v>46167</v>
      </c>
      <c r="H3" t="s">
        <v>12</v>
      </c>
      <c r="I3" s="13"/>
      <c r="L3" s="7"/>
    </row>
    <row r="4" spans="1:12" ht="16.8" x14ac:dyDescent="0.3">
      <c r="A4" s="2" t="s">
        <v>116</v>
      </c>
      <c r="B4" s="6">
        <v>1500</v>
      </c>
      <c r="C4" s="7">
        <f t="shared" si="0"/>
        <v>13500</v>
      </c>
      <c r="D4" s="6">
        <v>9</v>
      </c>
      <c r="E4" s="6">
        <f t="shared" si="1"/>
        <v>15525</v>
      </c>
      <c r="F4" s="11">
        <f t="shared" si="2"/>
        <v>2025</v>
      </c>
      <c r="G4" s="14">
        <v>46190</v>
      </c>
      <c r="H4" t="s">
        <v>8</v>
      </c>
      <c r="I4" s="12"/>
      <c r="L4" s="6"/>
    </row>
    <row r="5" spans="1:12" ht="16.8" x14ac:dyDescent="0.3">
      <c r="A5" s="4" t="s">
        <v>117</v>
      </c>
      <c r="B5" s="7">
        <v>4500</v>
      </c>
      <c r="C5" s="7">
        <f t="shared" si="0"/>
        <v>67500</v>
      </c>
      <c r="D5" s="7">
        <v>15</v>
      </c>
      <c r="E5" s="6">
        <f t="shared" si="1"/>
        <v>77625</v>
      </c>
      <c r="F5" s="11">
        <f t="shared" si="2"/>
        <v>10125</v>
      </c>
      <c r="G5" s="14">
        <v>46191</v>
      </c>
      <c r="H5" t="s">
        <v>20</v>
      </c>
      <c r="I5" s="13"/>
      <c r="L5" s="7"/>
    </row>
    <row r="6" spans="1:12" ht="16.8" x14ac:dyDescent="0.3">
      <c r="A6" s="2" t="s">
        <v>118</v>
      </c>
      <c r="B6" s="6">
        <v>800</v>
      </c>
      <c r="C6" s="7">
        <f t="shared" si="0"/>
        <v>8800</v>
      </c>
      <c r="D6" s="6">
        <v>11</v>
      </c>
      <c r="E6" s="6">
        <f t="shared" si="1"/>
        <v>10120</v>
      </c>
      <c r="F6" s="11">
        <f t="shared" si="2"/>
        <v>1320</v>
      </c>
      <c r="G6" s="14">
        <v>46192</v>
      </c>
      <c r="H6" t="s">
        <v>16</v>
      </c>
      <c r="I6" s="12"/>
      <c r="L6" s="6"/>
    </row>
    <row r="7" spans="1:12" ht="16.8" x14ac:dyDescent="0.3">
      <c r="A7" s="4" t="s">
        <v>119</v>
      </c>
      <c r="B7" s="7">
        <v>2500</v>
      </c>
      <c r="C7" s="7">
        <f t="shared" si="0"/>
        <v>17500</v>
      </c>
      <c r="D7" s="7">
        <v>7</v>
      </c>
      <c r="E7" s="6">
        <f t="shared" si="1"/>
        <v>20125</v>
      </c>
      <c r="F7" s="11">
        <f t="shared" si="2"/>
        <v>2625</v>
      </c>
      <c r="G7" s="14">
        <v>46196</v>
      </c>
      <c r="H7" t="s">
        <v>4</v>
      </c>
      <c r="I7" s="13"/>
      <c r="L7" s="7"/>
    </row>
    <row r="8" spans="1:12" ht="16.8" x14ac:dyDescent="0.3">
      <c r="A8" s="2" t="s">
        <v>120</v>
      </c>
      <c r="B8" s="6">
        <v>2200</v>
      </c>
      <c r="C8" s="7">
        <f t="shared" si="0"/>
        <v>48400</v>
      </c>
      <c r="D8" s="6">
        <v>22</v>
      </c>
      <c r="E8" s="6">
        <f t="shared" si="1"/>
        <v>55660</v>
      </c>
      <c r="F8" s="11">
        <f t="shared" si="2"/>
        <v>7260</v>
      </c>
      <c r="G8" s="14">
        <v>46197</v>
      </c>
      <c r="H8" t="s">
        <v>32</v>
      </c>
      <c r="I8" s="12"/>
      <c r="L8" s="6"/>
    </row>
    <row r="9" spans="1:12" ht="16.8" x14ac:dyDescent="0.3">
      <c r="A9" s="4" t="s">
        <v>121</v>
      </c>
      <c r="B9" s="7">
        <v>6000</v>
      </c>
      <c r="C9" s="7">
        <f t="shared" si="0"/>
        <v>108000</v>
      </c>
      <c r="D9" s="7">
        <v>18</v>
      </c>
      <c r="E9" s="6">
        <f t="shared" si="1"/>
        <v>124200</v>
      </c>
      <c r="F9" s="11">
        <f t="shared" si="2"/>
        <v>16200</v>
      </c>
      <c r="G9" s="14">
        <v>46199</v>
      </c>
      <c r="H9" t="s">
        <v>24</v>
      </c>
      <c r="I9" s="13"/>
      <c r="L9" s="7"/>
    </row>
    <row r="10" spans="1:12" ht="16.8" x14ac:dyDescent="0.3">
      <c r="A10" s="2" t="s">
        <v>122</v>
      </c>
      <c r="B10" s="6">
        <v>600</v>
      </c>
      <c r="C10" s="7">
        <f t="shared" si="0"/>
        <v>8400</v>
      </c>
      <c r="D10" s="6">
        <v>14</v>
      </c>
      <c r="E10" s="6">
        <f t="shared" si="1"/>
        <v>9660</v>
      </c>
      <c r="F10" s="11">
        <f t="shared" si="2"/>
        <v>1260</v>
      </c>
      <c r="G10" s="14">
        <v>46202</v>
      </c>
      <c r="H10" t="s">
        <v>40</v>
      </c>
      <c r="I10" s="12"/>
      <c r="L10" s="6"/>
    </row>
    <row r="11" spans="1:12" ht="16.8" x14ac:dyDescent="0.3">
      <c r="A11" s="4" t="s">
        <v>123</v>
      </c>
      <c r="B11" s="7">
        <v>400</v>
      </c>
      <c r="C11" s="7">
        <f t="shared" si="0"/>
        <v>4000</v>
      </c>
      <c r="D11" s="7">
        <v>10</v>
      </c>
      <c r="E11" s="6">
        <f t="shared" si="1"/>
        <v>4600</v>
      </c>
      <c r="F11" s="11">
        <f t="shared" si="2"/>
        <v>600</v>
      </c>
      <c r="G11" s="14">
        <v>46204</v>
      </c>
      <c r="H11" t="s">
        <v>28</v>
      </c>
      <c r="I11" s="13"/>
      <c r="L11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</vt:lpstr>
      <vt:lpstr>Product</vt:lpstr>
      <vt:lpstr>Order</vt:lpstr>
      <vt:lpstr>Payment</vt:lpstr>
      <vt:lpstr>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saxena</cp:lastModifiedBy>
  <dcterms:created xsi:type="dcterms:W3CDTF">2026-05-30T10:06:32Z</dcterms:created>
  <dcterms:modified xsi:type="dcterms:W3CDTF">2026-07-17T08:37:40Z</dcterms:modified>
</cp:coreProperties>
</file>